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cubadoras" sheetId="2" state="visible" r:id="rId2"/>
    <sheet xmlns:r="http://schemas.openxmlformats.org/officeDocument/2006/relationships" name="Fundos" sheetId="3" state="visible" r:id="rId3"/>
    <sheet xmlns:r="http://schemas.openxmlformats.org/officeDocument/2006/relationships" name="Museus" sheetId="4" state="visible" r:id="rId4"/>
    <sheet xmlns:r="http://schemas.openxmlformats.org/officeDocument/2006/relationships" name="Funil semanal" sheetId="5" state="visible" r:id="rId5"/>
  </sheets>
  <definedNames/>
  <calcPr calcMode="auto" fullCalcOnLoad="1" forceFullCalc="1" calcId="124519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Inter"/>
      <b val="1"/>
      <color rgb="000E0D0B"/>
      <sz val="16"/>
    </font>
    <font>
      <name val="Inter"/>
      <i val="1"/>
      <color rgb="006F6455"/>
      <sz val="10"/>
    </font>
    <font>
      <name val="Inter"/>
      <b val="1"/>
      <sz val="10"/>
    </font>
    <font>
      <name val="Inter"/>
      <sz val="10"/>
    </font>
    <font>
      <name val="Inter"/>
      <b val="1"/>
      <color rgb="00D8B878"/>
      <sz val="11"/>
    </font>
    <font>
      <name val="Inter"/>
      <color rgb="001F2937"/>
      <sz val="10"/>
    </font>
    <font>
      <name val="Inter"/>
      <b val="1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0E0D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164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</cols>
  <sheetData>
    <row r="2">
      <c r="B2" s="1" t="inlineStr">
        <is>
          <t>MUSA — Prospecção (parceiros, investidores e museus-piloto)</t>
        </is>
      </c>
    </row>
    <row r="3">
      <c r="B3" s="2" t="inlineStr">
        <is>
          <t>Gerado em out/2026. Regra de uso: prioridade Alta primeiro; e-mail frio em docs/pitch/email-frio.md + one-pager em anexo.</t>
        </is>
      </c>
    </row>
    <row r="5">
      <c r="B5" s="3" t="inlineStr">
        <is>
          <t>Aba</t>
        </is>
      </c>
      <c r="C5" s="4" t="inlineStr">
        <is>
          <t>Total de alvos</t>
        </is>
      </c>
    </row>
    <row r="6">
      <c r="B6" s="4" t="inlineStr">
        <is>
          <t>Incubadoras / aceleradoras</t>
        </is>
      </c>
      <c r="C6" s="4">
        <f>COUNTA(Incubadoras!A2:A100)</f>
        <v/>
      </c>
    </row>
    <row r="7">
      <c r="B7" s="4" t="inlineStr">
        <is>
          <t>Fundos seed</t>
        </is>
      </c>
      <c r="C7" s="4">
        <f>COUNTA(Fundos!A2:A100)</f>
        <v/>
      </c>
    </row>
    <row r="8">
      <c r="B8" s="4" t="inlineStr">
        <is>
          <t>Museus-piloto</t>
        </is>
      </c>
      <c r="C8" s="4">
        <f>COUNTA(Museus!A2:A100)</f>
        <v/>
      </c>
    </row>
    <row r="9">
      <c r="B9" s="3" t="inlineStr">
        <is>
          <t>Total</t>
        </is>
      </c>
      <c r="C9" s="3">
        <f>C6+C7+C8</f>
        <v/>
      </c>
    </row>
    <row r="10">
      <c r="B10" s="4" t="inlineStr">
        <is>
          <t>Já contatados</t>
        </is>
      </c>
      <c r="C10" s="4">
        <f>COUNTIF(Incubadoras!H2:H100,"Contatado")+COUNTIF(Fundos!H2:H100,"Contatado")+COUNTIF(Museus!H2:H100,"Contatado")</f>
        <v/>
      </c>
    </row>
    <row r="11">
      <c r="B11" s="4" t="inlineStr">
        <is>
          <t>Reuniões marcadas</t>
        </is>
      </c>
      <c r="C11" s="4">
        <f>COUNTIF(Incubadoras!H2:H100,"Reunião marcada")+COUNTIF(Fundos!H2:H100,"Reunião marcada")+COUNTIF(Museus!H2:H100,"Reunião marcada")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30" customWidth="1" min="4" max="4"/>
    <col width="16" customWidth="1" min="5" max="5"/>
    <col width="46" customWidth="1" min="6" max="6"/>
    <col width="11" customWidth="1" min="7" max="7"/>
    <col width="15" customWidth="1" min="8" max="8"/>
    <col width="13" customWidth="1" min="9" max="9"/>
    <col width="30" customWidth="1" min="10" max="10"/>
    <col width="22" customWidth="1" min="11" max="11"/>
    <col width="46" customWidth="1" min="12" max="12"/>
  </cols>
  <sheetData>
    <row r="1" ht="30" customHeight="1">
      <c r="A1" s="5" t="inlineStr">
        <is>
          <t>Nome</t>
        </is>
      </c>
      <c r="B1" s="5" t="inlineStr">
        <is>
          <t>Tipo / Modelo</t>
        </is>
      </c>
      <c r="C1" s="5" t="inlineStr">
        <is>
          <t>Site</t>
        </is>
      </c>
      <c r="D1" s="5" t="inlineStr">
        <is>
          <t>Contato</t>
        </is>
      </c>
      <c r="E1" s="5" t="inlineStr">
        <is>
          <t>Cidade/UF</t>
        </is>
      </c>
      <c r="F1" s="5" t="inlineStr">
        <is>
          <t>Fit para o MUSA</t>
        </is>
      </c>
      <c r="G1" s="5" t="inlineStr">
        <is>
          <t>Prioridade</t>
        </is>
      </c>
      <c r="H1" s="5" t="inlineStr">
        <is>
          <t>Status</t>
        </is>
      </c>
      <c r="I1" s="5" t="inlineStr">
        <is>
          <t>Último contato</t>
        </is>
      </c>
      <c r="J1" s="5" t="inlineStr">
        <is>
          <t>Próximo passo</t>
        </is>
      </c>
      <c r="K1" s="5" t="inlineStr">
        <is>
          <t>Source Name</t>
        </is>
      </c>
      <c r="L1" s="5" t="inlineStr">
        <is>
          <t>Source URL</t>
        </is>
      </c>
    </row>
    <row r="2">
      <c r="A2" s="6" t="inlineStr">
        <is>
          <t>InovAtiva Brasil</t>
        </is>
      </c>
      <c r="B2" s="6" t="inlineStr">
        <is>
          <t>Aceleração pública (MDIC), gratuita, equity-free</t>
        </is>
      </c>
      <c r="C2" s="6" t="inlineStr">
        <is>
          <t>https://www.inovativa.online</t>
        </is>
      </c>
      <c r="D2" s="6" t="inlineStr">
        <is>
          <t>site do programa (pré-inscrição)</t>
        </is>
      </c>
      <c r="E2" s="6" t="inlineStr">
        <is>
          <t>Brasil (online)</t>
        </is>
      </c>
      <c r="F2" s="6" t="inlineStr">
        <is>
          <t>Gratuito, sem equity; trilha de impacto cabe ao MUSA; dois ciclos/ano — verificar janela de inscrição</t>
        </is>
      </c>
      <c r="G2" s="6" t="inlineStr">
        <is>
          <t>Alta</t>
        </is>
      </c>
      <c r="H2" s="6" t="inlineStr">
        <is>
          <t>Não contatado</t>
        </is>
      </c>
      <c r="I2" s="6" t="inlineStr"/>
      <c r="J2" s="6" t="inlineStr">
        <is>
          <t>D0: e-mail frio + one-pager → D4: follow-up → D10: LinkedIn</t>
        </is>
      </c>
      <c r="K2" s="6" t="inlineStr">
        <is>
          <t>Anprotec — InovAtiva 2025</t>
        </is>
      </c>
      <c r="L2" s="6" t="inlineStr">
        <is>
          <t>https://anprotec.org.br/site/2025/01/inovativa-brasil-abre-pre-inscricoes-para-o-ciclo-de-aceleracao-2025/</t>
        </is>
      </c>
    </row>
    <row r="3">
      <c r="A3" s="6" t="inlineStr">
        <is>
          <t>Darwin Startups</t>
        </is>
      </c>
      <c r="B3" s="6" t="inlineStr">
        <is>
          <t>Aceleradora privada com capital semente</t>
        </is>
      </c>
      <c r="C3" s="6" t="inlineStr">
        <is>
          <t>https://darwinstartups.com</t>
        </is>
      </c>
      <c r="D3" s="6" t="inlineStr">
        <is>
          <t>site do programa</t>
        </is>
      </c>
      <c r="E3" s="6" t="inlineStr">
        <is>
          <t>Florianópolis/SC</t>
        </is>
      </c>
      <c r="F3" s="6" t="inlineStr">
        <is>
          <t>Tese B2B tech; investimento direto + mentoria hands-on</t>
        </is>
      </c>
      <c r="G3" s="6" t="inlineStr">
        <is>
          <t>Alta</t>
        </is>
      </c>
      <c r="H3" s="6" t="inlineStr">
        <is>
          <t>Não contatado</t>
        </is>
      </c>
      <c r="I3" s="6" t="inlineStr"/>
      <c r="J3" s="6" t="inlineStr">
        <is>
          <t>D0: e-mail frio + one-pager → D4: follow-up → D10: LinkedIn</t>
        </is>
      </c>
      <c r="K3" s="6" t="inlineStr">
        <is>
          <t>Awisee — Melhores incubadoras/aceleradoras Brasil 2025</t>
        </is>
      </c>
      <c r="L3" s="6" t="inlineStr">
        <is>
          <t>https://awisee.com/br/blog/incubadoras-aceleradoras-startups-brasil/</t>
        </is>
      </c>
    </row>
    <row r="4">
      <c r="A4" s="6" t="inlineStr">
        <is>
          <t>WOW Aceleradora</t>
        </is>
      </c>
      <c r="B4" s="6" t="inlineStr">
        <is>
          <t>Aceleradora + rede de 300 anjos</t>
        </is>
      </c>
      <c r="C4" s="6" t="inlineStr">
        <is>
          <t>https://wow.ac</t>
        </is>
      </c>
      <c r="D4" s="6" t="inlineStr">
        <is>
          <t>contato@wow.ac</t>
        </is>
      </c>
      <c r="E4" s="6" t="inlineStr">
        <is>
          <t>São Paulo/SP</t>
        </is>
      </c>
      <c r="F4" s="6" t="inlineStr">
        <is>
          <t>Combina capital semente com mentoria; aceita early stage</t>
        </is>
      </c>
      <c r="G4" s="6" t="inlineStr">
        <is>
          <t>Alta</t>
        </is>
      </c>
      <c r="H4" s="6" t="inlineStr">
        <is>
          <t>Não contatado</t>
        </is>
      </c>
      <c r="I4" s="6" t="inlineStr"/>
      <c r="J4" s="6" t="inlineStr">
        <is>
          <t>D0: e-mail frio + one-pager → D4: follow-up → D10: LinkedIn</t>
        </is>
      </c>
      <c r="K4" s="6" t="inlineStr">
        <is>
          <t>Failory — Top VC Firms in Brazil (2026)</t>
        </is>
      </c>
      <c r="L4" s="6" t="inlineStr">
        <is>
          <t>https://www.failory.com/blog/venture-capital-firms-brazil</t>
        </is>
      </c>
    </row>
    <row r="5">
      <c r="A5" s="6" t="inlineStr">
        <is>
          <t>Tecnopuc Startups (PUCRS)</t>
        </is>
      </c>
      <c r="B5" s="6" t="inlineStr">
        <is>
          <t>Incubadora universitária / parque tecnológico</t>
        </is>
      </c>
      <c r="C5" s="6" t="inlineStr">
        <is>
          <t>https://pucrs.br/tecnopuc</t>
        </is>
      </c>
      <c r="D5" s="6" t="inlineStr">
        <is>
          <t>site do programa</t>
        </is>
      </c>
      <c r="E5" s="6" t="inlineStr">
        <is>
          <t>Porto Alegre/RS</t>
        </is>
      </c>
      <c r="F5" s="6" t="inlineStr">
        <is>
          <t>Incubadora consolidada; editais e conexão academia-mercado</t>
        </is>
      </c>
      <c r="G5" s="6" t="inlineStr">
        <is>
          <t>Média</t>
        </is>
      </c>
      <c r="H5" s="6" t="inlineStr">
        <is>
          <t>Não contatado</t>
        </is>
      </c>
      <c r="I5" s="6" t="inlineStr"/>
      <c r="J5" s="6" t="inlineStr">
        <is>
          <t>D0: e-mail frio + one-pager → D4: follow-up → D10: LinkedIn</t>
        </is>
      </c>
      <c r="K5" s="6" t="inlineStr">
        <is>
          <t>Awisee — Melhores incubadoras/aceleradoras Brasil 2025</t>
        </is>
      </c>
      <c r="L5" s="6" t="inlineStr">
        <is>
          <t>https://awisee.com/br/blog/incubadoras-aceleradoras-startups-brasil/</t>
        </is>
      </c>
    </row>
    <row r="6">
      <c r="A6" s="6" t="inlineStr">
        <is>
          <t>ACE Startups</t>
        </is>
      </c>
      <c r="B6" s="6" t="inlineStr">
        <is>
          <t>Aceleradora (growth, rede de 200+ investidores)</t>
        </is>
      </c>
      <c r="C6" s="6" t="inlineStr">
        <is>
          <t>https://ace.vc</t>
        </is>
      </c>
      <c r="D6" s="6" t="inlineStr">
        <is>
          <t>site do programa</t>
        </is>
      </c>
      <c r="E6" s="6" t="inlineStr">
        <is>
          <t>São Paulo/SP</t>
        </is>
      </c>
      <c r="F6" s="6" t="inlineStr">
        <is>
          <t>Forte rede de investidores para a rodada seguinte</t>
        </is>
      </c>
      <c r="G6" s="6" t="inlineStr">
        <is>
          <t>Média</t>
        </is>
      </c>
      <c r="H6" s="6" t="inlineStr">
        <is>
          <t>Não contatado</t>
        </is>
      </c>
      <c r="I6" s="6" t="inlineStr"/>
      <c r="J6" s="6" t="inlineStr">
        <is>
          <t>D0: e-mail frio + one-pager → D4: follow-up → D10: LinkedIn</t>
        </is>
      </c>
      <c r="K6" s="6" t="inlineStr">
        <is>
          <t>Editorialge — Top aceleradoras LatAm 2025</t>
        </is>
      </c>
      <c r="L6" s="6" t="inlineStr">
        <is>
          <t>https://es.editorialge.com/aceleradoras-startups-latinoamerica/</t>
        </is>
      </c>
    </row>
    <row r="7">
      <c r="A7" s="6" t="inlineStr">
        <is>
          <t>FCJ Venture Builder</t>
        </is>
      </c>
      <c r="B7" s="6" t="inlineStr">
        <is>
          <t>Venture builder</t>
        </is>
      </c>
      <c r="C7" s="6" t="inlineStr">
        <is>
          <t>https://fcjventurebuilder.com</t>
        </is>
      </c>
      <c r="D7" s="6" t="inlineStr">
        <is>
          <t>site do programa</t>
        </is>
      </c>
      <c r="E7" s="6" t="inlineStr">
        <is>
          <t>São Paulo/SP</t>
        </is>
      </c>
      <c r="F7" s="6" t="inlineStr">
        <is>
          <t>Co-construção com financiamento inicial; foco em AI/tech</t>
        </is>
      </c>
      <c r="G7" s="6" t="inlineStr">
        <is>
          <t>Média</t>
        </is>
      </c>
      <c r="H7" s="6" t="inlineStr">
        <is>
          <t>Não contatado</t>
        </is>
      </c>
      <c r="I7" s="6" t="inlineStr"/>
      <c r="J7" s="6" t="inlineStr">
        <is>
          <t>D0: e-mail frio + one-pager → D4: follow-up → D10: LinkedIn</t>
        </is>
      </c>
      <c r="K7" s="6" t="inlineStr">
        <is>
          <t>Editorialge — Top aceleradoras LatAm 2025</t>
        </is>
      </c>
      <c r="L7" s="6" t="inlineStr">
        <is>
          <t>https://es.editorialge.com/aceleradoras-startups-latinoamerica/</t>
        </is>
      </c>
    </row>
    <row r="8">
      <c r="A8" s="6" t="inlineStr">
        <is>
          <t>Wayra Brasil (Telefônica)</t>
        </is>
      </c>
      <c r="B8" s="6" t="inlineStr">
        <is>
          <t>Hub de inovação corporativa</t>
        </is>
      </c>
      <c r="C8" s="6" t="inlineStr">
        <is>
          <t>https://wayra.com.br</t>
        </is>
      </c>
      <c r="D8" s="6" t="inlineStr">
        <is>
          <t>site do programa</t>
        </is>
      </c>
      <c r="E8" s="6" t="inlineStr">
        <is>
          <t>São Paulo/SP</t>
        </is>
      </c>
      <c r="F8" s="6" t="inlineStr">
        <is>
          <t>Foco AI/IoT; acesso à rede Telefónica para pilotos</t>
        </is>
      </c>
      <c r="G8" s="6" t="inlineStr">
        <is>
          <t>Média</t>
        </is>
      </c>
      <c r="H8" s="6" t="inlineStr">
        <is>
          <t>Não contatado</t>
        </is>
      </c>
      <c r="I8" s="6" t="inlineStr"/>
      <c r="J8" s="6" t="inlineStr">
        <is>
          <t>D0: e-mail frio + one-pager → D4: follow-up → D10: LinkedIn</t>
        </is>
      </c>
      <c r="K8" s="6" t="inlineStr">
        <is>
          <t>Editorialge — Top aceleradoras LatAm 2025</t>
        </is>
      </c>
      <c r="L8" s="6" t="inlineStr">
        <is>
          <t>https://es.editorialge.com/aceleradoras-startups-latinoamerica/</t>
        </is>
      </c>
    </row>
    <row r="9">
      <c r="A9" s="6" t="inlineStr">
        <is>
          <t>Google for Startups Accelerator LatAm</t>
        </is>
      </c>
      <c r="B9" s="6" t="inlineStr">
        <is>
          <t>Aceleradora equity-free (3 meses)</t>
        </is>
      </c>
      <c r="C9" s="6" t="inlineStr">
        <is>
          <t>https://startup.google.com/programs/accelerator/</t>
        </is>
      </c>
      <c r="D9" s="6" t="inlineStr">
        <is>
          <t>site do programa</t>
        </is>
      </c>
      <c r="E9" s="6" t="inlineStr">
        <is>
          <t>LatAm (online)</t>
        </is>
      </c>
      <c r="F9" s="6" t="inlineStr">
        <is>
          <t>AI/cloud/UX; equity-free; bom para a camada de IA do MUSA</t>
        </is>
      </c>
      <c r="G9" s="6" t="inlineStr">
        <is>
          <t>Média</t>
        </is>
      </c>
      <c r="H9" s="6" t="inlineStr">
        <is>
          <t>Não contatado</t>
        </is>
      </c>
      <c r="I9" s="6" t="inlineStr"/>
      <c r="J9" s="6" t="inlineStr">
        <is>
          <t>D0: e-mail frio + one-pager → D4: follow-up → D10: LinkedIn</t>
        </is>
      </c>
      <c r="K9" s="6" t="inlineStr">
        <is>
          <t>Editorialge — Top aceleradoras LatAm 2025</t>
        </is>
      </c>
      <c r="L9" s="6" t="inlineStr">
        <is>
          <t>https://es.editorialge.com/aceleradoras-startups-latinoamerica/</t>
        </is>
      </c>
    </row>
    <row r="10">
      <c r="A10" s="6" t="inlineStr">
        <is>
          <t>Founder Institute Brasil</t>
        </is>
      </c>
      <c r="B10" s="6" t="inlineStr">
        <is>
          <t>Aceleradora pre-seed (4 meses)</t>
        </is>
      </c>
      <c r="C10" s="6" t="inlineStr">
        <is>
          <t>https://fi.co</t>
        </is>
      </c>
      <c r="D10" s="6" t="inlineStr">
        <is>
          <t>site do programa</t>
        </is>
      </c>
      <c r="E10" s="6" t="inlineStr">
        <is>
          <t>São Paulo/SP</t>
        </is>
      </c>
      <c r="F10" s="6" t="inlineStr">
        <is>
          <t>Setor-agnóstico, pre-seed; rede global de alumni</t>
        </is>
      </c>
      <c r="G10" s="6" t="inlineStr">
        <is>
          <t>Baixa</t>
        </is>
      </c>
      <c r="H10" s="6" t="inlineStr">
        <is>
          <t>Não contatado</t>
        </is>
      </c>
      <c r="I10" s="6" t="inlineStr"/>
      <c r="J10" s="6" t="inlineStr">
        <is>
          <t>D0: e-mail frio + one-pager → D4: follow-up → D10: LinkedIn</t>
        </is>
      </c>
      <c r="K10" s="6" t="inlineStr">
        <is>
          <t>Editorialge — Top aceleradoras LatAm 2025</t>
        </is>
      </c>
      <c r="L10" s="6" t="inlineStr">
        <is>
          <t>https://es.editorialge.com/aceleradoras-startups-latinoamerica/</t>
        </is>
      </c>
    </row>
  </sheetData>
  <dataValidations count="2">
    <dataValidation sqref="H2:H49" showDropDown="0" showInputMessage="0" showErrorMessage="0" allowBlank="1" type="list">
      <formula1>"Não contatado,Contatado,Respondeu,Reunião marcada,Proposta enviada,Fechado,Descartado"</formula1>
    </dataValidation>
    <dataValidation sqref="G2:G49" showDropDown="0" showInputMessage="0" showErrorMessage="0" allowBlank="1" type="list">
      <formula1>"Alta,Média,Baixa"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30" customWidth="1" min="4" max="4"/>
    <col width="16" customWidth="1" min="5" max="5"/>
    <col width="46" customWidth="1" min="6" max="6"/>
    <col width="11" customWidth="1" min="7" max="7"/>
    <col width="15" customWidth="1" min="8" max="8"/>
    <col width="13" customWidth="1" min="9" max="9"/>
    <col width="30" customWidth="1" min="10" max="10"/>
    <col width="22" customWidth="1" min="11" max="11"/>
    <col width="46" customWidth="1" min="12" max="12"/>
  </cols>
  <sheetData>
    <row r="1" ht="30" customHeight="1">
      <c r="A1" s="5" t="inlineStr">
        <is>
          <t>Nome</t>
        </is>
      </c>
      <c r="B1" s="5" t="inlineStr">
        <is>
          <t>Tipo / Modelo</t>
        </is>
      </c>
      <c r="C1" s="5" t="inlineStr">
        <is>
          <t>Site</t>
        </is>
      </c>
      <c r="D1" s="5" t="inlineStr">
        <is>
          <t>Contato</t>
        </is>
      </c>
      <c r="E1" s="5" t="inlineStr">
        <is>
          <t>Cidade/UF</t>
        </is>
      </c>
      <c r="F1" s="5" t="inlineStr">
        <is>
          <t>Fit para o MUSA</t>
        </is>
      </c>
      <c r="G1" s="5" t="inlineStr">
        <is>
          <t>Prioridade</t>
        </is>
      </c>
      <c r="H1" s="5" t="inlineStr">
        <is>
          <t>Status</t>
        </is>
      </c>
      <c r="I1" s="5" t="inlineStr">
        <is>
          <t>Último contato</t>
        </is>
      </c>
      <c r="J1" s="5" t="inlineStr">
        <is>
          <t>Próximo passo</t>
        </is>
      </c>
      <c r="K1" s="5" t="inlineStr">
        <is>
          <t>Source Name</t>
        </is>
      </c>
      <c r="L1" s="5" t="inlineStr">
        <is>
          <t>Source URL</t>
        </is>
      </c>
    </row>
    <row r="2">
      <c r="A2" s="6" t="inlineStr">
        <is>
          <t>Bossa Invest</t>
        </is>
      </c>
      <c r="B2" s="6" t="inlineStr">
        <is>
          <t>VC pre-seed/seed, SaaS B2B</t>
        </is>
      </c>
      <c r="C2" s="6" t="inlineStr">
        <is>
          <t>https://bossainvest.com</t>
        </is>
      </c>
      <c r="D2" s="6" t="inlineStr">
        <is>
          <t>acesso@bossainvest.com</t>
        </is>
      </c>
      <c r="E2" s="6" t="inlineStr">
        <is>
          <t>São Paulo/SP</t>
        </is>
      </c>
      <c r="F2" s="6" t="inlineStr">
        <is>
          <t>Foco em SaaS B2B com receita recorrente — exatamente o modelo MUSA</t>
        </is>
      </c>
      <c r="G2" s="6" t="inlineStr">
        <is>
          <t>Alta</t>
        </is>
      </c>
      <c r="H2" s="6" t="inlineStr">
        <is>
          <t>Não contatado</t>
        </is>
      </c>
      <c r="I2" s="6" t="inlineStr"/>
      <c r="J2" s="6" t="inlineStr">
        <is>
          <t>D0: e-mail frio + one-pager → D4: follow-up → D10: LinkedIn</t>
        </is>
      </c>
      <c r="K2" s="6" t="inlineStr">
        <is>
          <t>Failory — Top VC Firms in Brazil (2026)</t>
        </is>
      </c>
      <c r="L2" s="6" t="inlineStr">
        <is>
          <t>https://www.failory.com/blog/venture-capital-firms-brazil</t>
        </is>
      </c>
    </row>
    <row r="3">
      <c r="A3" s="6" t="inlineStr">
        <is>
          <t>DOMO.VC</t>
        </is>
      </c>
      <c r="B3" s="6" t="inlineStr">
        <is>
          <t>VC early stage/seed</t>
        </is>
      </c>
      <c r="C3" s="6" t="inlineStr">
        <is>
          <t>https://domo.vc</t>
        </is>
      </c>
      <c r="D3" s="6" t="inlineStr">
        <is>
          <t>contato@domo.vc</t>
        </is>
      </c>
      <c r="E3" s="6" t="inlineStr">
        <is>
          <t>São Paulo/SP</t>
        </is>
      </c>
      <c r="F3" s="6" t="inlineStr">
        <is>
          <t>Histórico de early checks vencedores (Loggi, Gympass, Hotmart)</t>
        </is>
      </c>
      <c r="G3" s="6" t="inlineStr">
        <is>
          <t>Alta</t>
        </is>
      </c>
      <c r="H3" s="6" t="inlineStr">
        <is>
          <t>Não contatado</t>
        </is>
      </c>
      <c r="I3" s="6" t="inlineStr"/>
      <c r="J3" s="6" t="inlineStr">
        <is>
          <t>D0: e-mail frio + one-pager → D4: follow-up → D10: LinkedIn</t>
        </is>
      </c>
      <c r="K3" s="6" t="inlineStr">
        <is>
          <t>Failory — Top VC Firms in Brazil (2026)</t>
        </is>
      </c>
      <c r="L3" s="6" t="inlineStr">
        <is>
          <t>https://www.failory.com/blog/venture-capital-firms-brazil</t>
        </is>
      </c>
    </row>
    <row r="4">
      <c r="A4" s="6" t="inlineStr">
        <is>
          <t>ONEVC</t>
        </is>
      </c>
      <c r="B4" s="6" t="inlineStr">
        <is>
          <t>VC seed, portfólio concentrado</t>
        </is>
      </c>
      <c r="C4" s="6" t="inlineStr">
        <is>
          <t>https://onevc.vc</t>
        </is>
      </c>
      <c r="D4" s="6" t="inlineStr">
        <is>
          <t>via site</t>
        </is>
      </c>
      <c r="E4" s="6" t="inlineStr">
        <is>
          <t>São Paulo/SP</t>
        </is>
      </c>
      <c r="F4" s="6" t="inlineStr">
        <is>
          <t>Suporte hands-on em recrutamento tech — útil para escalar a equipe</t>
        </is>
      </c>
      <c r="G4" s="6" t="inlineStr">
        <is>
          <t>Alta</t>
        </is>
      </c>
      <c r="H4" s="6" t="inlineStr">
        <is>
          <t>Não contatado</t>
        </is>
      </c>
      <c r="I4" s="6" t="inlineStr"/>
      <c r="J4" s="6" t="inlineStr">
        <is>
          <t>D0: e-mail frio + one-pager → D4: follow-up → D10: LinkedIn</t>
        </is>
      </c>
      <c r="K4" s="6" t="inlineStr">
        <is>
          <t>Failory — Top VC Firms in Brazil (2026)</t>
        </is>
      </c>
      <c r="L4" s="6" t="inlineStr">
        <is>
          <t>https://www.failory.com/blog/venture-capital-firms-brazil</t>
        </is>
      </c>
    </row>
    <row r="5">
      <c r="A5" s="6" t="inlineStr">
        <is>
          <t>Latitud</t>
        </is>
      </c>
      <c r="B5" s="6" t="inlineStr">
        <is>
          <t>VC pre-seed/seed + plataforma</t>
        </is>
      </c>
      <c r="C5" s="6" t="inlineStr">
        <is>
          <t>https://latitud.com</t>
        </is>
      </c>
      <c r="D5" s="6" t="inlineStr">
        <is>
          <t>ventures@latitud.com</t>
        </is>
      </c>
      <c r="E5" s="6" t="inlineStr">
        <is>
          <t>São Paulo/SP</t>
        </is>
      </c>
      <c r="F5" s="6" t="inlineStr">
        <is>
          <t>Pre-seed hands-on para founders LatAm</t>
        </is>
      </c>
      <c r="G5" s="6" t="inlineStr">
        <is>
          <t>Média</t>
        </is>
      </c>
      <c r="H5" s="6" t="inlineStr">
        <is>
          <t>Não contatado</t>
        </is>
      </c>
      <c r="I5" s="6" t="inlineStr"/>
      <c r="J5" s="6" t="inlineStr">
        <is>
          <t>D0: e-mail frio + one-pager → D4: follow-up → D10: LinkedIn</t>
        </is>
      </c>
      <c r="K5" s="6" t="inlineStr">
        <is>
          <t>Failory — Top VC Firms in Brazil (2026)</t>
        </is>
      </c>
      <c r="L5" s="6" t="inlineStr">
        <is>
          <t>https://www.failory.com/blog/venture-capital-firms-brazil</t>
        </is>
      </c>
    </row>
    <row r="6">
      <c r="A6" s="6" t="inlineStr">
        <is>
          <t>Atlantico</t>
        </is>
      </c>
      <c r="B6" s="6" t="inlineStr">
        <is>
          <t>VC early stage LatAm</t>
        </is>
      </c>
      <c r="C6" s="6" t="inlineStr">
        <is>
          <t>https://atlantico.vc</t>
        </is>
      </c>
      <c r="D6" s="6" t="inlineStr">
        <is>
          <t>via site</t>
        </is>
      </c>
      <c r="E6" s="6" t="inlineStr">
        <is>
          <t>São Paulo/SP</t>
        </is>
      </c>
      <c r="F6" s="6" t="inlineStr">
        <is>
          <t>Tese de economia digital LatAm; hands-on (Kavak, Loft)</t>
        </is>
      </c>
      <c r="G6" s="6" t="inlineStr">
        <is>
          <t>Média</t>
        </is>
      </c>
      <c r="H6" s="6" t="inlineStr">
        <is>
          <t>Não contatado</t>
        </is>
      </c>
      <c r="I6" s="6" t="inlineStr"/>
      <c r="J6" s="6" t="inlineStr">
        <is>
          <t>D0: e-mail frio + one-pager → D4: follow-up → D10: LinkedIn</t>
        </is>
      </c>
      <c r="K6" s="6" t="inlineStr">
        <is>
          <t>Failory — Top VC Firms in Brazil (2026)</t>
        </is>
      </c>
      <c r="L6" s="6" t="inlineStr">
        <is>
          <t>https://www.failory.com/blog/venture-capital-firms-brazil</t>
        </is>
      </c>
    </row>
    <row r="7">
      <c r="A7" s="6" t="inlineStr">
        <is>
          <t>Indicator Capital</t>
        </is>
      </c>
      <c r="B7" s="6" t="inlineStr">
        <is>
          <t>VC seed, IoT/tech, B Corp</t>
        </is>
      </c>
      <c r="C7" s="6" t="inlineStr">
        <is>
          <t>https://indicatorcapital.com</t>
        </is>
      </c>
      <c r="D7" s="6" t="inlineStr">
        <is>
          <t>contact@indicatorcapital.com</t>
        </is>
      </c>
      <c r="E7" s="6" t="inlineStr">
        <is>
          <t>São Paulo/SP</t>
        </is>
      </c>
      <c r="F7" s="6" t="inlineStr">
        <is>
          <t>Tese IoT/hardware conversa com totens e escaneamento 3D</t>
        </is>
      </c>
      <c r="G7" s="6" t="inlineStr">
        <is>
          <t>Média</t>
        </is>
      </c>
      <c r="H7" s="6" t="inlineStr">
        <is>
          <t>Não contatado</t>
        </is>
      </c>
      <c r="I7" s="6" t="inlineStr"/>
      <c r="J7" s="6" t="inlineStr">
        <is>
          <t>D0: e-mail frio + one-pager → D4: follow-up → D10: LinkedIn</t>
        </is>
      </c>
      <c r="K7" s="6" t="inlineStr">
        <is>
          <t>Failory — Top VC Firms in Brazil (2026)</t>
        </is>
      </c>
      <c r="L7" s="6" t="inlineStr">
        <is>
          <t>https://www.failory.com/blog/venture-capital-firms-brazil</t>
        </is>
      </c>
    </row>
    <row r="8">
      <c r="A8" s="6" t="inlineStr">
        <is>
          <t>DGF Investimentos</t>
        </is>
      </c>
      <c r="B8" s="6" t="inlineStr">
        <is>
          <t>VC B2B software, early stage</t>
        </is>
      </c>
      <c r="C8" s="6" t="inlineStr">
        <is>
          <t>https://dgf.com.br</t>
        </is>
      </c>
      <c r="D8" s="6" t="inlineStr">
        <is>
          <t>startups@dgf.com.br</t>
        </is>
      </c>
      <c r="E8" s="6" t="inlineStr">
        <is>
          <t>São Paulo/SP</t>
        </is>
      </c>
      <c r="F8" s="6" t="inlineStr">
        <is>
          <t>Foco B2B software; exits RD Station e Reclame Aqui</t>
        </is>
      </c>
      <c r="G8" s="6" t="inlineStr">
        <is>
          <t>Média</t>
        </is>
      </c>
      <c r="H8" s="6" t="inlineStr">
        <is>
          <t>Não contatado</t>
        </is>
      </c>
      <c r="I8" s="6" t="inlineStr"/>
      <c r="J8" s="6" t="inlineStr">
        <is>
          <t>D0: e-mail frio + one-pager → D4: follow-up → D10: LinkedIn</t>
        </is>
      </c>
      <c r="K8" s="6" t="inlineStr">
        <is>
          <t>Failory — Top VC Firms in Brazil (2026)</t>
        </is>
      </c>
      <c r="L8" s="6" t="inlineStr">
        <is>
          <t>https://www.failory.com/blog/venture-capital-firms-brazil</t>
        </is>
      </c>
    </row>
    <row r="9">
      <c r="A9" s="6" t="inlineStr">
        <is>
          <t>Mindset Ventures</t>
        </is>
      </c>
      <c r="B9" s="6" t="inlineStr">
        <is>
          <t>VC early stage B2B</t>
        </is>
      </c>
      <c r="C9" s="6" t="inlineStr">
        <is>
          <t>https://mindset.ventures</t>
        </is>
      </c>
      <c r="D9" s="6" t="inlineStr">
        <is>
          <t>contact.mindsetventures@gmail.com</t>
        </is>
      </c>
      <c r="E9" s="6" t="inlineStr">
        <is>
          <t>São Paulo/SP</t>
        </is>
      </c>
      <c r="F9" s="6" t="inlineStr">
        <is>
          <t>B2B com suporte a expansão internacional</t>
        </is>
      </c>
      <c r="G9" s="6" t="inlineStr">
        <is>
          <t>Baixa</t>
        </is>
      </c>
      <c r="H9" s="6" t="inlineStr">
        <is>
          <t>Não contatado</t>
        </is>
      </c>
      <c r="I9" s="6" t="inlineStr"/>
      <c r="J9" s="6" t="inlineStr">
        <is>
          <t>D0: e-mail frio + one-pager → D4: follow-up → D10: LinkedIn</t>
        </is>
      </c>
      <c r="K9" s="6" t="inlineStr">
        <is>
          <t>Failory — Top VC Firms in Brazil (2026)</t>
        </is>
      </c>
      <c r="L9" s="6" t="inlineStr">
        <is>
          <t>https://www.failory.com/blog/venture-capital-firms-brazil</t>
        </is>
      </c>
    </row>
    <row r="10">
      <c r="A10" s="6" t="inlineStr">
        <is>
          <t>Westwood Capital</t>
        </is>
      </c>
      <c r="B10" s="6" t="inlineStr">
        <is>
          <t>Gestora seed (parceira da Quintal Ventures/RIC)</t>
        </is>
      </c>
      <c r="C10" s="6" t="inlineStr">
        <is>
          <t>https://westwoodcapital.com.br</t>
        </is>
      </c>
      <c r="D10" s="6" t="inlineStr">
        <is>
          <t>via site</t>
        </is>
      </c>
      <c r="E10" s="6" t="inlineStr">
        <is>
          <t>Curitiba/PR</t>
        </is>
      </c>
      <c r="F10" s="6" t="inlineStr">
        <is>
          <t>Entre os fundos seed mais ativos do Brasil em 2025 (LAVCA)</t>
        </is>
      </c>
      <c r="G10" s="6" t="inlineStr">
        <is>
          <t>Média</t>
        </is>
      </c>
      <c r="H10" s="6" t="inlineStr">
        <is>
          <t>Não contatado</t>
        </is>
      </c>
      <c r="I10" s="6" t="inlineStr"/>
      <c r="J10" s="6" t="inlineStr">
        <is>
          <t>D0: e-mail frio + one-pager → D4: follow-up → D10: LinkedIn</t>
        </is>
      </c>
      <c r="K10" s="6" t="inlineStr">
        <is>
          <t>TOPVIEW — LAVCA Emerging Tech Hub 2025</t>
        </is>
      </c>
      <c r="L10" s="6" t="inlineStr">
        <is>
          <t>https://topview.com.br/grands/estudo-aponta-curitiba-como-polo-emergente-de-inovacao-e-tecnologia-na-america-latina/</t>
        </is>
      </c>
    </row>
    <row r="11">
      <c r="A11" s="6" t="inlineStr">
        <is>
          <t>Kaszek</t>
        </is>
      </c>
      <c r="B11" s="6" t="inlineStr">
        <is>
          <t>VC (seed a growth)</t>
        </is>
      </c>
      <c r="C11" s="6" t="inlineStr">
        <is>
          <t>https://kaszek.com</t>
        </is>
      </c>
      <c r="D11" s="6" t="inlineStr">
        <is>
          <t>via site</t>
        </is>
      </c>
      <c r="E11" s="6" t="inlineStr">
        <is>
          <t>São Paulo/SP</t>
        </is>
      </c>
      <c r="F11" s="6" t="inlineStr">
        <is>
          <t>Maior fundo da região; entraria melhor numa rodada posterior</t>
        </is>
      </c>
      <c r="G11" s="6" t="inlineStr">
        <is>
          <t>Baixa</t>
        </is>
      </c>
      <c r="H11" s="6" t="inlineStr">
        <is>
          <t>Não contatado</t>
        </is>
      </c>
      <c r="I11" s="6" t="inlineStr"/>
      <c r="J11" s="6" t="inlineStr">
        <is>
          <t>D0: e-mail frio + one-pager → D4: follow-up → D10: LinkedIn</t>
        </is>
      </c>
      <c r="K11" s="6" t="inlineStr">
        <is>
          <t>Dicas Globais — startups BR 2025</t>
        </is>
      </c>
      <c r="L11" s="6" t="inlineStr">
        <is>
          <t>https://dicasglobais.com/startups-brasileiras-inovando-2025/</t>
        </is>
      </c>
    </row>
    <row r="12">
      <c r="A12" s="6" t="inlineStr">
        <is>
          <t>Monashees</t>
        </is>
      </c>
      <c r="B12" s="6" t="inlineStr">
        <is>
          <t>VC (seed a growth)</t>
        </is>
      </c>
      <c r="C12" s="6" t="inlineStr">
        <is>
          <t>https://monashees.com.br</t>
        </is>
      </c>
      <c r="D12" s="6" t="inlineStr">
        <is>
          <t>via site</t>
        </is>
      </c>
      <c r="E12" s="6" t="inlineStr">
        <is>
          <t>São Paulo/SP</t>
        </is>
      </c>
      <c r="F12" s="6" t="inlineStr">
        <is>
          <t>Fundo tier-1 BR; também mais adiante no funil</t>
        </is>
      </c>
      <c r="G12" s="6" t="inlineStr">
        <is>
          <t>Baixa</t>
        </is>
      </c>
      <c r="H12" s="6" t="inlineStr">
        <is>
          <t>Não contatado</t>
        </is>
      </c>
      <c r="I12" s="6" t="inlineStr"/>
      <c r="J12" s="6" t="inlineStr">
        <is>
          <t>D0: e-mail frio + one-pager → D4: follow-up → D10: LinkedIn</t>
        </is>
      </c>
      <c r="K12" s="6" t="inlineStr">
        <is>
          <t>Dicas Globais — startups BR 2025</t>
        </is>
      </c>
      <c r="L12" s="6" t="inlineStr">
        <is>
          <t>https://dicasglobais.com/startups-brasileiras-inovando-2025/</t>
        </is>
      </c>
    </row>
  </sheetData>
  <dataValidations count="2">
    <dataValidation sqref="H2:H51" showDropDown="0" showInputMessage="0" showErrorMessage="0" allowBlank="1" type="list">
      <formula1>"Não contatado,Contatado,Respondeu,Reunião marcada,Proposta enviada,Fechado,Descartado"</formula1>
    </dataValidation>
    <dataValidation sqref="G2:G51" showDropDown="0" showInputMessage="0" showErrorMessage="0" allowBlank="1" type="list">
      <formula1>"Alta,Média,Baixa"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30" customWidth="1" min="4" max="4"/>
    <col width="16" customWidth="1" min="5" max="5"/>
    <col width="46" customWidth="1" min="6" max="6"/>
    <col width="11" customWidth="1" min="7" max="7"/>
    <col width="15" customWidth="1" min="8" max="8"/>
    <col width="13" customWidth="1" min="9" max="9"/>
    <col width="30" customWidth="1" min="10" max="10"/>
    <col width="22" customWidth="1" min="11" max="11"/>
    <col width="46" customWidth="1" min="12" max="12"/>
  </cols>
  <sheetData>
    <row r="1" ht="30" customHeight="1">
      <c r="A1" s="5" t="inlineStr">
        <is>
          <t>Nome</t>
        </is>
      </c>
      <c r="B1" s="5" t="inlineStr">
        <is>
          <t>Tipo / Modelo</t>
        </is>
      </c>
      <c r="C1" s="5" t="inlineStr">
        <is>
          <t>Site</t>
        </is>
      </c>
      <c r="D1" s="5" t="inlineStr">
        <is>
          <t>Contato</t>
        </is>
      </c>
      <c r="E1" s="5" t="inlineStr">
        <is>
          <t>Cidade/UF</t>
        </is>
      </c>
      <c r="F1" s="5" t="inlineStr">
        <is>
          <t>Fit para o MUSA</t>
        </is>
      </c>
      <c r="G1" s="5" t="inlineStr">
        <is>
          <t>Prioridade</t>
        </is>
      </c>
      <c r="H1" s="5" t="inlineStr">
        <is>
          <t>Status</t>
        </is>
      </c>
      <c r="I1" s="5" t="inlineStr">
        <is>
          <t>Último contato</t>
        </is>
      </c>
      <c r="J1" s="5" t="inlineStr">
        <is>
          <t>Próximo passo</t>
        </is>
      </c>
      <c r="K1" s="5" t="inlineStr">
        <is>
          <t>Source Name</t>
        </is>
      </c>
      <c r="L1" s="5" t="inlineStr">
        <is>
          <t>Source URL</t>
        </is>
      </c>
    </row>
    <row r="2">
      <c r="A2" s="6" t="inlineStr">
        <is>
          <t>Museu do Diamante</t>
        </is>
      </c>
      <c r="B2" s="6" t="inlineStr">
        <is>
          <t>Museu federal (Ibram), histórico</t>
        </is>
      </c>
      <c r="C2" s="6" t="inlineStr"/>
      <c r="D2" s="6" t="inlineStr">
        <is>
          <t>site/telefone institucional</t>
        </is>
      </c>
      <c r="E2" s="6" t="inlineStr">
        <is>
          <t>Diamantina/MG</t>
        </is>
      </c>
      <c r="F2" s="6" t="inlineStr">
        <is>
          <t>Cidade histórica turística; acervo valioso e público visitante do circuito das serras</t>
        </is>
      </c>
      <c r="G2" s="6" t="inlineStr">
        <is>
          <t>Alta</t>
        </is>
      </c>
      <c r="H2" s="6" t="inlineStr">
        <is>
          <t>Não contatado</t>
        </is>
      </c>
      <c r="I2" s="6" t="inlineStr"/>
      <c r="J2" s="6" t="inlineStr">
        <is>
          <t>D0: e-mail/telefone à diretoria → D7: follow-up → D15: visita ou chamada</t>
        </is>
      </c>
      <c r="K2" s="6" t="inlineStr">
        <is>
          <t>Wikipédia — Instituto Brasileiro de Museus (museus federais)</t>
        </is>
      </c>
      <c r="L2" s="6" t="inlineStr">
        <is>
          <t>https://pt.wikipedia.org/wiki/Instituto_Brasileiro_de_Museus</t>
        </is>
      </c>
    </row>
    <row r="3">
      <c r="A3" s="6" t="inlineStr">
        <is>
          <t>Museu do Ouro</t>
        </is>
      </c>
      <c r="B3" s="6" t="inlineStr">
        <is>
          <t>Museu federal (Ibram), histórico</t>
        </is>
      </c>
      <c r="C3" s="6" t="inlineStr"/>
      <c r="D3" s="6" t="inlineStr">
        <is>
          <t>site/telefone institucional</t>
        </is>
      </c>
      <c r="E3" s="6" t="inlineStr">
        <is>
          <t>Sabará/MG</t>
        </is>
      </c>
      <c r="F3" s="6" t="inlineStr">
        <is>
          <t>Eixo do turismo histórico de MG; acervo de arte sacra e ourivesaria</t>
        </is>
      </c>
      <c r="G3" s="6" t="inlineStr">
        <is>
          <t>Alta</t>
        </is>
      </c>
      <c r="H3" s="6" t="inlineStr">
        <is>
          <t>Não contatado</t>
        </is>
      </c>
      <c r="I3" s="6" t="inlineStr"/>
      <c r="J3" s="6" t="inlineStr">
        <is>
          <t>D0: e-mail/telefone à diretoria → D7: follow-up → D15: visita ou chamada</t>
        </is>
      </c>
      <c r="K3" s="6" t="inlineStr">
        <is>
          <t>Wikipédia — Instituto Brasileiro de Museus (museus federais)</t>
        </is>
      </c>
      <c r="L3" s="6" t="inlineStr">
        <is>
          <t>https://pt.wikipedia.org/wiki/Instituto_Brasileiro_de_Museus</t>
        </is>
      </c>
    </row>
    <row r="4">
      <c r="A4" s="6" t="inlineStr">
        <is>
          <t>Museu Regional de Caetano</t>
        </is>
      </c>
      <c r="B4" s="6" t="inlineStr">
        <is>
          <t>Museu federal (Ibram), regional</t>
        </is>
      </c>
      <c r="C4" s="6" t="inlineStr"/>
      <c r="D4" s="6" t="inlineStr">
        <is>
          <t>site/telefone institucional</t>
        </is>
      </c>
      <c r="E4" s="6" t="inlineStr">
        <is>
          <t>Caetano/MG</t>
        </is>
      </c>
      <c r="F4" s="6" t="inlineStr">
        <is>
          <t>Pequeno porte, sem equipe técnica — perfil exato do plano Bronze</t>
        </is>
      </c>
      <c r="G4" s="6" t="inlineStr">
        <is>
          <t>Média</t>
        </is>
      </c>
      <c r="H4" s="6" t="inlineStr">
        <is>
          <t>Não contatado</t>
        </is>
      </c>
      <c r="I4" s="6" t="inlineStr"/>
      <c r="J4" s="6" t="inlineStr">
        <is>
          <t>D0: e-mail/telefone à diretoria → D7: follow-up → D15: visita ou chamada</t>
        </is>
      </c>
      <c r="K4" s="6" t="inlineStr">
        <is>
          <t>Wikipédia — Instituto Brasileiro de Museus (museus federais)</t>
        </is>
      </c>
      <c r="L4" s="6" t="inlineStr">
        <is>
          <t>https://pt.wikipedia.org/wiki/Instituto_Brasileiro_de_Museus</t>
        </is>
      </c>
    </row>
    <row r="5">
      <c r="A5" s="6" t="inlineStr">
        <is>
          <t>Museu das Missões</t>
        </is>
      </c>
      <c r="B5" s="6" t="inlineStr">
        <is>
          <t>Museu federal (Ibram), sítio histórico</t>
        </is>
      </c>
      <c r="C5" s="6" t="inlineStr"/>
      <c r="D5" s="6" t="inlineStr">
        <is>
          <t>site/telefone institucional</t>
        </is>
      </c>
      <c r="E5" s="6" t="inlineStr">
        <is>
          <t>São Miguel das Missões/RS</t>
        </is>
      </c>
      <c r="F5" s="6" t="inlineStr">
        <is>
          <t>Sítio arqueológico jesuítico; 3D e gêmeo digital têm apelo forte</t>
        </is>
      </c>
      <c r="G5" s="6" t="inlineStr">
        <is>
          <t>Alta</t>
        </is>
      </c>
      <c r="H5" s="6" t="inlineStr">
        <is>
          <t>Não contatado</t>
        </is>
      </c>
      <c r="I5" s="6" t="inlineStr"/>
      <c r="J5" s="6" t="inlineStr">
        <is>
          <t>D0: e-mail/telefone à diretoria → D7: follow-up → D15: visita ou chamada</t>
        </is>
      </c>
      <c r="K5" s="6" t="inlineStr">
        <is>
          <t>Wikipédia — Instituto Brasileiro de Museus (museus federais)</t>
        </is>
      </c>
      <c r="L5" s="6" t="inlineStr">
        <is>
          <t>https://pt.wikipedia.org/wiki/Instituto_Brasileiro_de_Museus</t>
        </is>
      </c>
    </row>
    <row r="6">
      <c r="A6" s="6" t="inlineStr">
        <is>
          <t>Museu das Bandeiras</t>
        </is>
      </c>
      <c r="B6" s="6" t="inlineStr">
        <is>
          <t>Museu federal (Ibram), histórico</t>
        </is>
      </c>
      <c r="C6" s="6" t="inlineStr"/>
      <c r="D6" s="6" t="inlineStr">
        <is>
          <t>site/telefone institucional</t>
        </is>
      </c>
      <c r="E6" s="6" t="inlineStr">
        <is>
          <t>Goiânia/GO</t>
        </is>
      </c>
      <c r="F6" s="6" t="inlineStr">
        <is>
          <t>Acervo bandeirista; capital com turismo cultural crescente</t>
        </is>
      </c>
      <c r="G6" s="6" t="inlineStr">
        <is>
          <t>Média</t>
        </is>
      </c>
      <c r="H6" s="6" t="inlineStr">
        <is>
          <t>Não contatado</t>
        </is>
      </c>
      <c r="I6" s="6" t="inlineStr"/>
      <c r="J6" s="6" t="inlineStr">
        <is>
          <t>D0: e-mail/telefone à diretoria → D7: follow-up → D15: visita ou chamada</t>
        </is>
      </c>
      <c r="K6" s="6" t="inlineStr">
        <is>
          <t>Wikipédia — Instituto Brasileiro de Museus (museus federais)</t>
        </is>
      </c>
      <c r="L6" s="6" t="inlineStr">
        <is>
          <t>https://pt.wikipedia.org/wiki/Instituto_Brasileiro_de_Museus</t>
        </is>
      </c>
    </row>
    <row r="7">
      <c r="A7" s="6" t="inlineStr">
        <is>
          <t>Museu de Arte Sacra da Igreja da Boa Morte</t>
        </is>
      </c>
      <c r="B7" s="6" t="inlineStr">
        <is>
          <t>Museu federal (Ibram), arte sacra</t>
        </is>
      </c>
      <c r="C7" s="6" t="inlineStr"/>
      <c r="D7" s="6" t="inlineStr">
        <is>
          <t>site/telefone institucional</t>
        </is>
      </c>
      <c r="E7" s="6" t="inlineStr">
        <is>
          <t>Goiás/GO</t>
        </is>
      </c>
      <c r="F7" s="6" t="inlineStr">
        <is>
          <t>Cidade histórica; arte sacra fotografável, bom showcase do pipeline</t>
        </is>
      </c>
      <c r="G7" s="6" t="inlineStr">
        <is>
          <t>Média</t>
        </is>
      </c>
      <c r="H7" s="6" t="inlineStr">
        <is>
          <t>Não contatado</t>
        </is>
      </c>
      <c r="I7" s="6" t="inlineStr"/>
      <c r="J7" s="6" t="inlineStr">
        <is>
          <t>D0: e-mail/telefone à diretoria → D7: follow-up → D15: visita ou chamada</t>
        </is>
      </c>
      <c r="K7" s="6" t="inlineStr">
        <is>
          <t>Wikipédia — Instituto Brasileiro de Museus (museus federais)</t>
        </is>
      </c>
      <c r="L7" s="6" t="inlineStr">
        <is>
          <t>https://pt.wikipedia.org/wiki/Instituto_Brasileiro_de_Museus</t>
        </is>
      </c>
    </row>
    <row r="8">
      <c r="A8" s="6" t="inlineStr">
        <is>
          <t>Museu de Arte Religiosa e Tradicional de Cabo Frio</t>
        </is>
      </c>
      <c r="B8" s="6" t="inlineStr">
        <is>
          <t>Museu federal (Ibram)</t>
        </is>
      </c>
      <c r="C8" s="6" t="inlineStr"/>
      <c r="D8" s="6" t="inlineStr">
        <is>
          <t>site/telefone institucional</t>
        </is>
      </c>
      <c r="E8" s="6" t="inlineStr">
        <is>
          <t>Cabo Frio/RJ</t>
        </is>
      </c>
      <c r="F8" s="6" t="inlineStr">
        <is>
          <t>Cidade turística de praia + patrimônio; sinergia de público</t>
        </is>
      </c>
      <c r="G8" s="6" t="inlineStr">
        <is>
          <t>Média</t>
        </is>
      </c>
      <c r="H8" s="6" t="inlineStr">
        <is>
          <t>Não contatado</t>
        </is>
      </c>
      <c r="I8" s="6" t="inlineStr"/>
      <c r="J8" s="6" t="inlineStr">
        <is>
          <t>D0: e-mail/telefone à diretoria → D7: follow-up → D15: visita ou chamada</t>
        </is>
      </c>
      <c r="K8" s="6" t="inlineStr">
        <is>
          <t>Wikipédia — Instituto Brasileiro de Museus (museus federais)</t>
        </is>
      </c>
      <c r="L8" s="6" t="inlineStr">
        <is>
          <t>https://pt.wikipedia.org/wiki/Instituto_Brasileiro_de_Museus</t>
        </is>
      </c>
    </row>
    <row r="9">
      <c r="A9" s="6" t="inlineStr">
        <is>
          <t>Museu Forte Defensor Pérpetuo</t>
        </is>
      </c>
      <c r="B9" s="6" t="inlineStr">
        <is>
          <t>Museu federal (Ibram), forte histórico</t>
        </is>
      </c>
      <c r="C9" s="6" t="inlineStr"/>
      <c r="D9" s="6" t="inlineStr">
        <is>
          <t>site/telefone institucional</t>
        </is>
      </c>
      <c r="E9" s="6" t="inlineStr">
        <is>
          <t>Paraty/RJ</t>
        </is>
      </c>
      <c r="F9" s="6" t="inlineStr">
        <is>
          <t>Paraty é destino cultural internacional; forte + vilarejo pedem 3D</t>
        </is>
      </c>
      <c r="G9" s="6" t="inlineStr">
        <is>
          <t>Alta</t>
        </is>
      </c>
      <c r="H9" s="6" t="inlineStr">
        <is>
          <t>Não contatado</t>
        </is>
      </c>
      <c r="I9" s="6" t="inlineStr"/>
      <c r="J9" s="6" t="inlineStr">
        <is>
          <t>D0: e-mail/telefone à diretoria → D7: follow-up → D15: visita ou chamada</t>
        </is>
      </c>
      <c r="K9" s="6" t="inlineStr">
        <is>
          <t>Wikipédia — Instituto Brasileiro de Museus (museus federais)</t>
        </is>
      </c>
      <c r="L9" s="6" t="inlineStr">
        <is>
          <t>https://pt.wikipedia.org/wiki/Instituto_Brasileiro_de_Museus</t>
        </is>
      </c>
    </row>
    <row r="10">
      <c r="A10" s="6" t="inlineStr">
        <is>
          <t>Museu Histórico e Artístico do Maranhão</t>
        </is>
      </c>
      <c r="B10" s="6" t="inlineStr">
        <is>
          <t>Museu estadual, histórico</t>
        </is>
      </c>
      <c r="C10" s="6" t="inlineStr"/>
      <c r="D10" s="6" t="inlineStr">
        <is>
          <t>site/telefone institucional</t>
        </is>
      </c>
      <c r="E10" s="6" t="inlineStr">
        <is>
          <t>São Luís/MA</t>
        </is>
      </c>
      <c r="F10" s="6" t="inlineStr">
        <is>
          <t>Centro histórico Patrimônio Mundial UNESCO; acervo de mobiliário e arte</t>
        </is>
      </c>
      <c r="G10" s="6" t="inlineStr">
        <is>
          <t>Alta</t>
        </is>
      </c>
      <c r="H10" s="6" t="inlineStr">
        <is>
          <t>Não contatado</t>
        </is>
      </c>
      <c r="I10" s="6" t="inlineStr"/>
      <c r="J10" s="6" t="inlineStr">
        <is>
          <t>D0: e-mail/telefone à diretoria → D7: follow-up → D15: visita ou chamada</t>
        </is>
      </c>
      <c r="K10" s="6" t="inlineStr">
        <is>
          <t>Ibram — Museus em Números / plataforma Museus BR (2024)</t>
        </is>
      </c>
      <c r="L10" s="6" t="inlineStr">
        <is>
          <t>https://agenciagov.ebc.com.br/noticias/202401/ibram-celebra-15-anos-neste-sabado-20-e-lanca-a-plataforma-nova-museus-br</t>
        </is>
      </c>
    </row>
    <row r="11">
      <c r="A11" s="6" t="inlineStr">
        <is>
          <t>Museu da Borracha Governador Hélio M. da Costa</t>
        </is>
      </c>
      <c r="B11" s="6" t="inlineStr">
        <is>
          <t>Museu estadual, histórico</t>
        </is>
      </c>
      <c r="C11" s="6" t="inlineStr"/>
      <c r="D11" s="6" t="inlineStr">
        <is>
          <t>site/telefone institucional</t>
        </is>
      </c>
      <c r="E11" s="6" t="inlineStr">
        <is>
          <t>Rio Branco/AC</t>
        </is>
      </c>
      <c r="F11" s="6" t="inlineStr">
        <is>
          <t>Memória seringal; digitalização ampliaria alcance de região remota</t>
        </is>
      </c>
      <c r="G11" s="6" t="inlineStr">
        <is>
          <t>Baixa</t>
        </is>
      </c>
      <c r="H11" s="6" t="inlineStr">
        <is>
          <t>Não contatado</t>
        </is>
      </c>
      <c r="I11" s="6" t="inlineStr"/>
      <c r="J11" s="6" t="inlineStr">
        <is>
          <t>D0: e-mail/telefone à diretoria → D7: follow-up → D15: visita ou chamada</t>
        </is>
      </c>
      <c r="K11" s="6" t="inlineStr">
        <is>
          <t>Ibram — Museus em Números / plataforma Museus BR (2024)</t>
        </is>
      </c>
      <c r="L11" s="6" t="inlineStr">
        <is>
          <t>https://agenciagov.ebc.com.br/noticias/202401/ibram-celebra-15-anos-neste-sabado-20-e-lanca-a-plataforma-nova-museus-br</t>
        </is>
      </c>
    </row>
    <row r="12">
      <c r="A12" s="6" t="inlineStr">
        <is>
          <t>Museu Socioambiental de Itaipu</t>
        </is>
      </c>
      <c r="B12" s="6" t="inlineStr">
        <is>
          <t>Museu temático (Itaipu Binacional)</t>
        </is>
      </c>
      <c r="C12" s="6" t="inlineStr"/>
      <c r="D12" s="6" t="inlineStr">
        <is>
          <t>site/telefone institucional</t>
        </is>
      </c>
      <c r="E12" s="6" t="inlineStr">
        <is>
          <t>Niterói/RJ</t>
        </is>
      </c>
      <c r="F12" s="6" t="inlineStr">
        <is>
          <t>Museu socioambiental; perfil de patrocínio corporativo possível</t>
        </is>
      </c>
      <c r="G12" s="6" t="inlineStr">
        <is>
          <t>Baixa</t>
        </is>
      </c>
      <c r="H12" s="6" t="inlineStr">
        <is>
          <t>Não contatado</t>
        </is>
      </c>
      <c r="I12" s="6" t="inlineStr"/>
      <c r="J12" s="6" t="inlineStr">
        <is>
          <t>D0: e-mail/telefone à diretoria → D7: follow-up → D15: visita ou chamada</t>
        </is>
      </c>
      <c r="K12" s="6" t="inlineStr">
        <is>
          <t>Wikipédia — Instituto Brasileiro de Museus (museus federais)</t>
        </is>
      </c>
      <c r="L12" s="6" t="inlineStr">
        <is>
          <t>https://pt.wikipedia.org/wiki/Instituto_Brasileiro_de_Museus</t>
        </is>
      </c>
    </row>
  </sheetData>
  <dataValidations count="2">
    <dataValidation sqref="H2:H51" showDropDown="0" showInputMessage="0" showErrorMessage="0" allowBlank="1" type="list">
      <formula1>"Não contatado,Contatado,Respondeu,Reunião marcada,Proposta enviada,Fechado,Descartado"</formula1>
    </dataValidation>
    <dataValidation sqref="G2:G51" showDropDown="0" showInputMessage="0" showErrorMessage="0" allowBlank="1" type="list">
      <formula1>"Alta,Média,Baixa"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40" customWidth="1" min="11" max="11"/>
  </cols>
  <sheetData>
    <row r="2">
      <c r="B2" s="1" t="inlineStr">
        <is>
          <t>Funil semanal — acompanhamento</t>
        </is>
      </c>
    </row>
    <row r="3">
      <c r="B3" s="2" t="inlineStr">
        <is>
          <t>As linhas de status contam AO VIVO das abas Incubadoras/Fundos/Museus. Para congelar o histórico: ao fechar a semana, copie a linha e Cole especial → Valores.</t>
        </is>
      </c>
    </row>
    <row r="5" ht="30" customHeight="1">
      <c r="B5" s="5" t="inlineStr">
        <is>
          <t>Semana de</t>
        </is>
      </c>
      <c r="C5" s="5" t="inlineStr">
        <is>
          <t>Não contatado</t>
        </is>
      </c>
      <c r="D5" s="5" t="inlineStr">
        <is>
          <t>Contatado</t>
        </is>
      </c>
      <c r="E5" s="5" t="inlineStr">
        <is>
          <t>Respondeu</t>
        </is>
      </c>
      <c r="F5" s="5" t="inlineStr">
        <is>
          <t>Reunião marcada</t>
        </is>
      </c>
      <c r="G5" s="5" t="inlineStr">
        <is>
          <t>Proposta enviada</t>
        </is>
      </c>
      <c r="H5" s="5" t="inlineStr">
        <is>
          <t>Fechado</t>
        </is>
      </c>
      <c r="I5" s="5" t="inlineStr">
        <is>
          <t>Descartado</t>
        </is>
      </c>
      <c r="J5" s="5" t="inlineStr">
        <is>
          <t>Total em cadastro</t>
        </is>
      </c>
      <c r="K5" s="5" t="inlineStr">
        <is>
          <t>Observações</t>
        </is>
      </c>
    </row>
    <row r="6">
      <c r="B6" s="7" t="n"/>
      <c r="C6" s="8">
        <f>COUNTIF(Incubadoras!$H$2:$H$100,C$5)+COUNTIF(Fundos!$H$2:$H$100,C$5)+COUNTIF(Museus!$H$2:$H$100,C$5)</f>
        <v/>
      </c>
      <c r="D6" s="8">
        <f>COUNTIF(Incubadoras!$H$2:$H$100,D$5)+COUNTIF(Fundos!$H$2:$H$100,D$5)+COUNTIF(Museus!$H$2:$H$100,D$5)</f>
        <v/>
      </c>
      <c r="E6" s="8">
        <f>COUNTIF(Incubadoras!$H$2:$H$100,E$5)+COUNTIF(Fundos!$H$2:$H$100,E$5)+COUNTIF(Museus!$H$2:$H$100,E$5)</f>
        <v/>
      </c>
      <c r="F6" s="8">
        <f>COUNTIF(Incubadoras!$H$2:$H$100,F$5)+COUNTIF(Fundos!$H$2:$H$100,F$5)+COUNTIF(Museus!$H$2:$H$100,F$5)</f>
        <v/>
      </c>
      <c r="G6" s="8">
        <f>COUNTIF(Incubadoras!$H$2:$H$100,G$5)+COUNTIF(Fundos!$H$2:$H$100,G$5)+COUNTIF(Museus!$H$2:$H$100,G$5)</f>
        <v/>
      </c>
      <c r="H6" s="8">
        <f>COUNTIF(Incubadoras!$H$2:$H$100,H$5)+COUNTIF(Fundos!$H$2:$H$100,H$5)+COUNTIF(Museus!$H$2:$H$100,H$5)</f>
        <v/>
      </c>
      <c r="I6" s="8">
        <f>COUNTIF(Incubadoras!$H$2:$H$100,I$5)+COUNTIF(Fundos!$H$2:$H$100,I$5)+COUNTIF(Museus!$H$2:$H$100,I$5)</f>
        <v/>
      </c>
      <c r="J6" s="9">
        <f>COUNTA(Incubadoras!$A$2:$A$100)+COUNTA(Fundos!$A$2:$A$100)+COUNTA(Museus!$A$2:$A$100)</f>
        <v/>
      </c>
    </row>
    <row r="7">
      <c r="B7" s="7" t="n"/>
      <c r="C7" s="8">
        <f>COUNTIF(Incubadoras!$H$2:$H$100,C$5)+COUNTIF(Fundos!$H$2:$H$100,C$5)+COUNTIF(Museus!$H$2:$H$100,C$5)</f>
        <v/>
      </c>
      <c r="D7" s="8">
        <f>COUNTIF(Incubadoras!$H$2:$H$100,D$5)+COUNTIF(Fundos!$H$2:$H$100,D$5)+COUNTIF(Museus!$H$2:$H$100,D$5)</f>
        <v/>
      </c>
      <c r="E7" s="8">
        <f>COUNTIF(Incubadoras!$H$2:$H$100,E$5)+COUNTIF(Fundos!$H$2:$H$100,E$5)+COUNTIF(Museus!$H$2:$H$100,E$5)</f>
        <v/>
      </c>
      <c r="F7" s="8">
        <f>COUNTIF(Incubadoras!$H$2:$H$100,F$5)+COUNTIF(Fundos!$H$2:$H$100,F$5)+COUNTIF(Museus!$H$2:$H$100,F$5)</f>
        <v/>
      </c>
      <c r="G7" s="8">
        <f>COUNTIF(Incubadoras!$H$2:$H$100,G$5)+COUNTIF(Fundos!$H$2:$H$100,G$5)+COUNTIF(Museus!$H$2:$H$100,G$5)</f>
        <v/>
      </c>
      <c r="H7" s="8">
        <f>COUNTIF(Incubadoras!$H$2:$H$100,H$5)+COUNTIF(Fundos!$H$2:$H$100,H$5)+COUNTIF(Museus!$H$2:$H$100,H$5)</f>
        <v/>
      </c>
      <c r="I7" s="8">
        <f>COUNTIF(Incubadoras!$H$2:$H$100,I$5)+COUNTIF(Fundos!$H$2:$H$100,I$5)+COUNTIF(Museus!$H$2:$H$100,I$5)</f>
        <v/>
      </c>
      <c r="J7" s="9">
        <f>COUNTA(Incubadoras!$A$2:$A$100)+COUNTA(Fundos!$A$2:$A$100)+COUNTA(Museus!$A$2:$A$100)</f>
        <v/>
      </c>
    </row>
    <row r="8">
      <c r="B8" s="7" t="n"/>
      <c r="C8" s="8">
        <f>COUNTIF(Incubadoras!$H$2:$H$100,C$5)+COUNTIF(Fundos!$H$2:$H$100,C$5)+COUNTIF(Museus!$H$2:$H$100,C$5)</f>
        <v/>
      </c>
      <c r="D8" s="8">
        <f>COUNTIF(Incubadoras!$H$2:$H$100,D$5)+COUNTIF(Fundos!$H$2:$H$100,D$5)+COUNTIF(Museus!$H$2:$H$100,D$5)</f>
        <v/>
      </c>
      <c r="E8" s="8">
        <f>COUNTIF(Incubadoras!$H$2:$H$100,E$5)+COUNTIF(Fundos!$H$2:$H$100,E$5)+COUNTIF(Museus!$H$2:$H$100,E$5)</f>
        <v/>
      </c>
      <c r="F8" s="8">
        <f>COUNTIF(Incubadoras!$H$2:$H$100,F$5)+COUNTIF(Fundos!$H$2:$H$100,F$5)+COUNTIF(Museus!$H$2:$H$100,F$5)</f>
        <v/>
      </c>
      <c r="G8" s="8">
        <f>COUNTIF(Incubadoras!$H$2:$H$100,G$5)+COUNTIF(Fundos!$H$2:$H$100,G$5)+COUNTIF(Museus!$H$2:$H$100,G$5)</f>
        <v/>
      </c>
      <c r="H8" s="8">
        <f>COUNTIF(Incubadoras!$H$2:$H$100,H$5)+COUNTIF(Fundos!$H$2:$H$100,H$5)+COUNTIF(Museus!$H$2:$H$100,H$5)</f>
        <v/>
      </c>
      <c r="I8" s="8">
        <f>COUNTIF(Incubadoras!$H$2:$H$100,I$5)+COUNTIF(Fundos!$H$2:$H$100,I$5)+COUNTIF(Museus!$H$2:$H$100,I$5)</f>
        <v/>
      </c>
      <c r="J8" s="9">
        <f>COUNTA(Incubadoras!$A$2:$A$100)+COUNTA(Fundos!$A$2:$A$100)+COUNTA(Museus!$A$2:$A$100)</f>
        <v/>
      </c>
    </row>
    <row r="9">
      <c r="B9" s="7" t="n"/>
      <c r="C9" s="8">
        <f>COUNTIF(Incubadoras!$H$2:$H$100,C$5)+COUNTIF(Fundos!$H$2:$H$100,C$5)+COUNTIF(Museus!$H$2:$H$100,C$5)</f>
        <v/>
      </c>
      <c r="D9" s="8">
        <f>COUNTIF(Incubadoras!$H$2:$H$100,D$5)+COUNTIF(Fundos!$H$2:$H$100,D$5)+COUNTIF(Museus!$H$2:$H$100,D$5)</f>
        <v/>
      </c>
      <c r="E9" s="8">
        <f>COUNTIF(Incubadoras!$H$2:$H$100,E$5)+COUNTIF(Fundos!$H$2:$H$100,E$5)+COUNTIF(Museus!$H$2:$H$100,E$5)</f>
        <v/>
      </c>
      <c r="F9" s="8">
        <f>COUNTIF(Incubadoras!$H$2:$H$100,F$5)+COUNTIF(Fundos!$H$2:$H$100,F$5)+COUNTIF(Museus!$H$2:$H$100,F$5)</f>
        <v/>
      </c>
      <c r="G9" s="8">
        <f>COUNTIF(Incubadoras!$H$2:$H$100,G$5)+COUNTIF(Fundos!$H$2:$H$100,G$5)+COUNTIF(Museus!$H$2:$H$100,G$5)</f>
        <v/>
      </c>
      <c r="H9" s="8">
        <f>COUNTIF(Incubadoras!$H$2:$H$100,H$5)+COUNTIF(Fundos!$H$2:$H$100,H$5)+COUNTIF(Museus!$H$2:$H$100,H$5)</f>
        <v/>
      </c>
      <c r="I9" s="8">
        <f>COUNTIF(Incubadoras!$H$2:$H$100,I$5)+COUNTIF(Fundos!$H$2:$H$100,I$5)+COUNTIF(Museus!$H$2:$H$100,I$5)</f>
        <v/>
      </c>
      <c r="J9" s="9">
        <f>COUNTA(Incubadoras!$A$2:$A$100)+COUNTA(Fundos!$A$2:$A$100)+COUNTA(Museus!$A$2:$A$100)</f>
        <v/>
      </c>
    </row>
    <row r="10">
      <c r="B10" s="7" t="n"/>
      <c r="C10" s="8">
        <f>COUNTIF(Incubadoras!$H$2:$H$100,C$5)+COUNTIF(Fundos!$H$2:$H$100,C$5)+COUNTIF(Museus!$H$2:$H$100,C$5)</f>
        <v/>
      </c>
      <c r="D10" s="8">
        <f>COUNTIF(Incubadoras!$H$2:$H$100,D$5)+COUNTIF(Fundos!$H$2:$H$100,D$5)+COUNTIF(Museus!$H$2:$H$100,D$5)</f>
        <v/>
      </c>
      <c r="E10" s="8">
        <f>COUNTIF(Incubadoras!$H$2:$H$100,E$5)+COUNTIF(Fundos!$H$2:$H$100,E$5)+COUNTIF(Museus!$H$2:$H$100,E$5)</f>
        <v/>
      </c>
      <c r="F10" s="8">
        <f>COUNTIF(Incubadoras!$H$2:$H$100,F$5)+COUNTIF(Fundos!$H$2:$H$100,F$5)+COUNTIF(Museus!$H$2:$H$100,F$5)</f>
        <v/>
      </c>
      <c r="G10" s="8">
        <f>COUNTIF(Incubadoras!$H$2:$H$100,G$5)+COUNTIF(Fundos!$H$2:$H$100,G$5)+COUNTIF(Museus!$H$2:$H$100,G$5)</f>
        <v/>
      </c>
      <c r="H10" s="8">
        <f>COUNTIF(Incubadoras!$H$2:$H$100,H$5)+COUNTIF(Fundos!$H$2:$H$100,H$5)+COUNTIF(Museus!$H$2:$H$100,H$5)</f>
        <v/>
      </c>
      <c r="I10" s="8">
        <f>COUNTIF(Incubadoras!$H$2:$H$100,I$5)+COUNTIF(Fundos!$H$2:$H$100,I$5)+COUNTIF(Museus!$H$2:$H$100,I$5)</f>
        <v/>
      </c>
      <c r="J10" s="9">
        <f>COUNTA(Incubadoras!$A$2:$A$100)+COUNTA(Fundos!$A$2:$A$100)+COUNTA(Museus!$A$2:$A$100)</f>
        <v/>
      </c>
    </row>
    <row r="11">
      <c r="B11" s="7" t="n"/>
      <c r="C11" s="8">
        <f>COUNTIF(Incubadoras!$H$2:$H$100,C$5)+COUNTIF(Fundos!$H$2:$H$100,C$5)+COUNTIF(Museus!$H$2:$H$100,C$5)</f>
        <v/>
      </c>
      <c r="D11" s="8">
        <f>COUNTIF(Incubadoras!$H$2:$H$100,D$5)+COUNTIF(Fundos!$H$2:$H$100,D$5)+COUNTIF(Museus!$H$2:$H$100,D$5)</f>
        <v/>
      </c>
      <c r="E11" s="8">
        <f>COUNTIF(Incubadoras!$H$2:$H$100,E$5)+COUNTIF(Fundos!$H$2:$H$100,E$5)+COUNTIF(Museus!$H$2:$H$100,E$5)</f>
        <v/>
      </c>
      <c r="F11" s="8">
        <f>COUNTIF(Incubadoras!$H$2:$H$100,F$5)+COUNTIF(Fundos!$H$2:$H$100,F$5)+COUNTIF(Museus!$H$2:$H$100,F$5)</f>
        <v/>
      </c>
      <c r="G11" s="8">
        <f>COUNTIF(Incubadoras!$H$2:$H$100,G$5)+COUNTIF(Fundos!$H$2:$H$100,G$5)+COUNTIF(Museus!$H$2:$H$100,G$5)</f>
        <v/>
      </c>
      <c r="H11" s="8">
        <f>COUNTIF(Incubadoras!$H$2:$H$100,H$5)+COUNTIF(Fundos!$H$2:$H$100,H$5)+COUNTIF(Museus!$H$2:$H$100,H$5)</f>
        <v/>
      </c>
      <c r="I11" s="8">
        <f>COUNTIF(Incubadoras!$H$2:$H$100,I$5)+COUNTIF(Fundos!$H$2:$H$100,I$5)+COUNTIF(Museus!$H$2:$H$100,I$5)</f>
        <v/>
      </c>
      <c r="J11" s="9">
        <f>COUNTA(Incubadoras!$A$2:$A$100)+COUNTA(Fundos!$A$2:$A$100)+COUNTA(Museus!$A$2:$A$100)</f>
        <v/>
      </c>
    </row>
    <row r="12">
      <c r="B12" s="7" t="n"/>
      <c r="C12" s="8">
        <f>COUNTIF(Incubadoras!$H$2:$H$100,C$5)+COUNTIF(Fundos!$H$2:$H$100,C$5)+COUNTIF(Museus!$H$2:$H$100,C$5)</f>
        <v/>
      </c>
      <c r="D12" s="8">
        <f>COUNTIF(Incubadoras!$H$2:$H$100,D$5)+COUNTIF(Fundos!$H$2:$H$100,D$5)+COUNTIF(Museus!$H$2:$H$100,D$5)</f>
        <v/>
      </c>
      <c r="E12" s="8">
        <f>COUNTIF(Incubadoras!$H$2:$H$100,E$5)+COUNTIF(Fundos!$H$2:$H$100,E$5)+COUNTIF(Museus!$H$2:$H$100,E$5)</f>
        <v/>
      </c>
      <c r="F12" s="8">
        <f>COUNTIF(Incubadoras!$H$2:$H$100,F$5)+COUNTIF(Fundos!$H$2:$H$100,F$5)+COUNTIF(Museus!$H$2:$H$100,F$5)</f>
        <v/>
      </c>
      <c r="G12" s="8">
        <f>COUNTIF(Incubadoras!$H$2:$H$100,G$5)+COUNTIF(Fundos!$H$2:$H$100,G$5)+COUNTIF(Museus!$H$2:$H$100,G$5)</f>
        <v/>
      </c>
      <c r="H12" s="8">
        <f>COUNTIF(Incubadoras!$H$2:$H$100,H$5)+COUNTIF(Fundos!$H$2:$H$100,H$5)+COUNTIF(Museus!$H$2:$H$100,H$5)</f>
        <v/>
      </c>
      <c r="I12" s="8">
        <f>COUNTIF(Incubadoras!$H$2:$H$100,I$5)+COUNTIF(Fundos!$H$2:$H$100,I$5)+COUNTIF(Museus!$H$2:$H$100,I$5)</f>
        <v/>
      </c>
      <c r="J12" s="9">
        <f>COUNTA(Incubadoras!$A$2:$A$100)+COUNTA(Fundos!$A$2:$A$100)+COUNTA(Museus!$A$2:$A$100)</f>
        <v/>
      </c>
    </row>
    <row r="13">
      <c r="B13" s="7" t="n"/>
      <c r="C13" s="8">
        <f>COUNTIF(Incubadoras!$H$2:$H$100,C$5)+COUNTIF(Fundos!$H$2:$H$100,C$5)+COUNTIF(Museus!$H$2:$H$100,C$5)</f>
        <v/>
      </c>
      <c r="D13" s="8">
        <f>COUNTIF(Incubadoras!$H$2:$H$100,D$5)+COUNTIF(Fundos!$H$2:$H$100,D$5)+COUNTIF(Museus!$H$2:$H$100,D$5)</f>
        <v/>
      </c>
      <c r="E13" s="8">
        <f>COUNTIF(Incubadoras!$H$2:$H$100,E$5)+COUNTIF(Fundos!$H$2:$H$100,E$5)+COUNTIF(Museus!$H$2:$H$100,E$5)</f>
        <v/>
      </c>
      <c r="F13" s="8">
        <f>COUNTIF(Incubadoras!$H$2:$H$100,F$5)+COUNTIF(Fundos!$H$2:$H$100,F$5)+COUNTIF(Museus!$H$2:$H$100,F$5)</f>
        <v/>
      </c>
      <c r="G13" s="8">
        <f>COUNTIF(Incubadoras!$H$2:$H$100,G$5)+COUNTIF(Fundos!$H$2:$H$100,G$5)+COUNTIF(Museus!$H$2:$H$100,G$5)</f>
        <v/>
      </c>
      <c r="H13" s="8">
        <f>COUNTIF(Incubadoras!$H$2:$H$100,H$5)+COUNTIF(Fundos!$H$2:$H$100,H$5)+COUNTIF(Museus!$H$2:$H$100,H$5)</f>
        <v/>
      </c>
      <c r="I13" s="8">
        <f>COUNTIF(Incubadoras!$H$2:$H$100,I$5)+COUNTIF(Fundos!$H$2:$H$100,I$5)+COUNTIF(Museus!$H$2:$H$100,I$5)</f>
        <v/>
      </c>
      <c r="J13" s="9">
        <f>COUNTA(Incubadoras!$A$2:$A$100)+COUNTA(Fundos!$A$2:$A$100)+COUNTA(Museus!$A$2:$A$100)</f>
        <v/>
      </c>
    </row>
    <row r="14">
      <c r="B14" s="7" t="n"/>
      <c r="C14" s="8">
        <f>COUNTIF(Incubadoras!$H$2:$H$100,C$5)+COUNTIF(Fundos!$H$2:$H$100,C$5)+COUNTIF(Museus!$H$2:$H$100,C$5)</f>
        <v/>
      </c>
      <c r="D14" s="8">
        <f>COUNTIF(Incubadoras!$H$2:$H$100,D$5)+COUNTIF(Fundos!$H$2:$H$100,D$5)+COUNTIF(Museus!$H$2:$H$100,D$5)</f>
        <v/>
      </c>
      <c r="E14" s="8">
        <f>COUNTIF(Incubadoras!$H$2:$H$100,E$5)+COUNTIF(Fundos!$H$2:$H$100,E$5)+COUNTIF(Museus!$H$2:$H$100,E$5)</f>
        <v/>
      </c>
      <c r="F14" s="8">
        <f>COUNTIF(Incubadoras!$H$2:$H$100,F$5)+COUNTIF(Fundos!$H$2:$H$100,F$5)+COUNTIF(Museus!$H$2:$H$100,F$5)</f>
        <v/>
      </c>
      <c r="G14" s="8">
        <f>COUNTIF(Incubadoras!$H$2:$H$100,G$5)+COUNTIF(Fundos!$H$2:$H$100,G$5)+COUNTIF(Museus!$H$2:$H$100,G$5)</f>
        <v/>
      </c>
      <c r="H14" s="8">
        <f>COUNTIF(Incubadoras!$H$2:$H$100,H$5)+COUNTIF(Fundos!$H$2:$H$100,H$5)+COUNTIF(Museus!$H$2:$H$100,H$5)</f>
        <v/>
      </c>
      <c r="I14" s="8">
        <f>COUNTIF(Incubadoras!$H$2:$H$100,I$5)+COUNTIF(Fundos!$H$2:$H$100,I$5)+COUNTIF(Museus!$H$2:$H$100,I$5)</f>
        <v/>
      </c>
      <c r="J14" s="9">
        <f>COUNTA(Incubadoras!$A$2:$A$100)+COUNTA(Fundos!$A$2:$A$100)+COUNTA(Museus!$A$2:$A$100)</f>
        <v/>
      </c>
    </row>
    <row r="15">
      <c r="B15" s="7" t="n"/>
      <c r="C15" s="8">
        <f>COUNTIF(Incubadoras!$H$2:$H$100,C$5)+COUNTIF(Fundos!$H$2:$H$100,C$5)+COUNTIF(Museus!$H$2:$H$100,C$5)</f>
        <v/>
      </c>
      <c r="D15" s="8">
        <f>COUNTIF(Incubadoras!$H$2:$H$100,D$5)+COUNTIF(Fundos!$H$2:$H$100,D$5)+COUNTIF(Museus!$H$2:$H$100,D$5)</f>
        <v/>
      </c>
      <c r="E15" s="8">
        <f>COUNTIF(Incubadoras!$H$2:$H$100,E$5)+COUNTIF(Fundos!$H$2:$H$100,E$5)+COUNTIF(Museus!$H$2:$H$100,E$5)</f>
        <v/>
      </c>
      <c r="F15" s="8">
        <f>COUNTIF(Incubadoras!$H$2:$H$100,F$5)+COUNTIF(Fundos!$H$2:$H$100,F$5)+COUNTIF(Museus!$H$2:$H$100,F$5)</f>
        <v/>
      </c>
      <c r="G15" s="8">
        <f>COUNTIF(Incubadoras!$H$2:$H$100,G$5)+COUNTIF(Fundos!$H$2:$H$100,G$5)+COUNTIF(Museus!$H$2:$H$100,G$5)</f>
        <v/>
      </c>
      <c r="H15" s="8">
        <f>COUNTIF(Incubadoras!$H$2:$H$100,H$5)+COUNTIF(Fundos!$H$2:$H$100,H$5)+COUNTIF(Museus!$H$2:$H$100,H$5)</f>
        <v/>
      </c>
      <c r="I15" s="8">
        <f>COUNTIF(Incubadoras!$H$2:$H$100,I$5)+COUNTIF(Fundos!$H$2:$H$100,I$5)+COUNTIF(Museus!$H$2:$H$100,I$5)</f>
        <v/>
      </c>
      <c r="J15" s="9">
        <f>COUNTA(Incubadoras!$A$2:$A$100)+COUNTA(Fundos!$A$2:$A$100)+COUNTA(Museus!$A$2:$A$100)</f>
        <v/>
      </c>
    </row>
    <row r="16">
      <c r="B16" s="7" t="n"/>
      <c r="C16" s="8">
        <f>COUNTIF(Incubadoras!$H$2:$H$100,C$5)+COUNTIF(Fundos!$H$2:$H$100,C$5)+COUNTIF(Museus!$H$2:$H$100,C$5)</f>
        <v/>
      </c>
      <c r="D16" s="8">
        <f>COUNTIF(Incubadoras!$H$2:$H$100,D$5)+COUNTIF(Fundos!$H$2:$H$100,D$5)+COUNTIF(Museus!$H$2:$H$100,D$5)</f>
        <v/>
      </c>
      <c r="E16" s="8">
        <f>COUNTIF(Incubadoras!$H$2:$H$100,E$5)+COUNTIF(Fundos!$H$2:$H$100,E$5)+COUNTIF(Museus!$H$2:$H$100,E$5)</f>
        <v/>
      </c>
      <c r="F16" s="8">
        <f>COUNTIF(Incubadoras!$H$2:$H$100,F$5)+COUNTIF(Fundos!$H$2:$H$100,F$5)+COUNTIF(Museus!$H$2:$H$100,F$5)</f>
        <v/>
      </c>
      <c r="G16" s="8">
        <f>COUNTIF(Incubadoras!$H$2:$H$100,G$5)+COUNTIF(Fundos!$H$2:$H$100,G$5)+COUNTIF(Museus!$H$2:$H$100,G$5)</f>
        <v/>
      </c>
      <c r="H16" s="8">
        <f>COUNTIF(Incubadoras!$H$2:$H$100,H$5)+COUNTIF(Fundos!$H$2:$H$100,H$5)+COUNTIF(Museus!$H$2:$H$100,H$5)</f>
        <v/>
      </c>
      <c r="I16" s="8">
        <f>COUNTIF(Incubadoras!$H$2:$H$100,I$5)+COUNTIF(Fundos!$H$2:$H$100,I$5)+COUNTIF(Museus!$H$2:$H$100,I$5)</f>
        <v/>
      </c>
      <c r="J16" s="9">
        <f>COUNTA(Incubadoras!$A$2:$A$100)+COUNTA(Fundos!$A$2:$A$100)+COUNTA(Museus!$A$2:$A$100)</f>
        <v/>
      </c>
    </row>
    <row r="17">
      <c r="B17" s="7" t="n"/>
      <c r="C17" s="8">
        <f>COUNTIF(Incubadoras!$H$2:$H$100,C$5)+COUNTIF(Fundos!$H$2:$H$100,C$5)+COUNTIF(Museus!$H$2:$H$100,C$5)</f>
        <v/>
      </c>
      <c r="D17" s="8">
        <f>COUNTIF(Incubadoras!$H$2:$H$100,D$5)+COUNTIF(Fundos!$H$2:$H$100,D$5)+COUNTIF(Museus!$H$2:$H$100,D$5)</f>
        <v/>
      </c>
      <c r="E17" s="8">
        <f>COUNTIF(Incubadoras!$H$2:$H$100,E$5)+COUNTIF(Fundos!$H$2:$H$100,E$5)+COUNTIF(Museus!$H$2:$H$100,E$5)</f>
        <v/>
      </c>
      <c r="F17" s="8">
        <f>COUNTIF(Incubadoras!$H$2:$H$100,F$5)+COUNTIF(Fundos!$H$2:$H$100,F$5)+COUNTIF(Museus!$H$2:$H$100,F$5)</f>
        <v/>
      </c>
      <c r="G17" s="8">
        <f>COUNTIF(Incubadoras!$H$2:$H$100,G$5)+COUNTIF(Fundos!$H$2:$H$100,G$5)+COUNTIF(Museus!$H$2:$H$100,G$5)</f>
        <v/>
      </c>
      <c r="H17" s="8">
        <f>COUNTIF(Incubadoras!$H$2:$H$100,H$5)+COUNTIF(Fundos!$H$2:$H$100,H$5)+COUNTIF(Museus!$H$2:$H$100,H$5)</f>
        <v/>
      </c>
      <c r="I17" s="8">
        <f>COUNTIF(Incubadoras!$H$2:$H$100,I$5)+COUNTIF(Fundos!$H$2:$H$100,I$5)+COUNTIF(Museus!$H$2:$H$100,I$5)</f>
        <v/>
      </c>
      <c r="J17" s="9">
        <f>COUNTA(Incubadoras!$A$2:$A$100)+COUNTA(Fundos!$A$2:$A$100)+COUNTA(Museus!$A$2:$A$100)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2026-10-17T23:07:29Z</dcterms:created>
  <dcterms:modified xmlns:dcterms="http://purl.org/dc/terms/" xmlns:xsi="http://www.w3.org/2001/XMLSchema-instance" xsi:type="dcterms:W3CDTF">2026-10-17T23:21:38Z</dcterms:modified>
</cp:coreProperties>
</file>